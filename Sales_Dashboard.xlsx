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Overview" sheetId="1" state="visible" r:id="rId1"/>
    <sheet xmlns:r="http://schemas.openxmlformats.org/officeDocument/2006/relationships" name="📅 Monthly Trend" sheetId="2" state="visible" r:id="rId2"/>
    <sheet xmlns:r="http://schemas.openxmlformats.org/officeDocument/2006/relationships" name="📆 YoY Comparison" sheetId="3" state="visible" r:id="rId3"/>
    <sheet xmlns:r="http://schemas.openxmlformats.org/officeDocument/2006/relationships" name="🗺 Region KPIs" sheetId="4" state="visible" r:id="rId4"/>
    <sheet xmlns:r="http://schemas.openxmlformats.org/officeDocument/2006/relationships" name="🏷 Category KPIs" sheetId="5" state="visible" r:id="rId5"/>
    <sheet xmlns:r="http://schemas.openxmlformats.org/officeDocument/2006/relationships" name="👤 Sales Reps" sheetId="6" state="visible" r:id="rId6"/>
    <sheet xmlns:r="http://schemas.openxmlformats.org/officeDocument/2006/relationships" name="📡 Channel Mix" sheetId="7" state="visible" r:id="rId7"/>
    <sheet xmlns:r="http://schemas.openxmlformats.org/officeDocument/2006/relationships" name="📈 Quarterl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A1A2E"/>
      <sz val="16"/>
    </font>
    <font>
      <b val="1"/>
      <color rgb="001A1A2E"/>
      <sz val="11"/>
    </font>
    <font>
      <b val="1"/>
      <color rgb="000F3460"/>
      <sz val="12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F0F4FF"/>
      </patternFill>
    </fill>
    <fill>
      <patternFill patternType="solid">
        <fgColor rgb="001A1A2E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2" borderId="0" pivotButton="0" quotePrefix="0" xfId="0"/>
    <xf numFmtId="0" fontId="3" fillId="2" borderId="0" applyAlignment="1" pivotButton="0" quotePrefix="0" xfId="0">
      <alignment horizontal="right"/>
    </xf>
    <xf numFmtId="0" fontId="4" fillId="3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vs Profit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'📅 Monthly Trend'!D1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'📅 Monthly Trend'!$C$2:$C$25</f>
            </numRef>
          </cat>
          <val>
            <numRef>
              <f>'📅 Monthly Trend'!$D$2:$D$25</f>
            </numRef>
          </val>
        </ser>
        <ser>
          <idx val="1"/>
          <order val="1"/>
          <tx>
            <strRef>
              <f>'📅 Monthly Trend'!E1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'📅 Monthly Trend'!$C$2:$C$25</f>
            </numRef>
          </cat>
          <val>
            <numRef>
              <f>'📅 Monthly Trend'!$E$2:$E$25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Region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'🗺 Region KPIs'!B1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'🗺 Region KPIs'!$A$2:$A$6</f>
            </numRef>
          </cat>
          <val>
            <numRef>
              <f>'🗺 Region KPIs'!$B$2:$B$6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Region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1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2" customWidth="1" min="2" max="2"/>
  </cols>
  <sheetData>
    <row r="1" ht="30" customHeight="1">
      <c r="A1" s="1" t="inlineStr">
        <is>
          <t>Sales Dashboard — KPI Overview</t>
        </is>
      </c>
    </row>
    <row r="3">
      <c r="A3" s="2" t="inlineStr">
        <is>
          <t>Total Orders</t>
        </is>
      </c>
      <c r="B3" s="3" t="n">
        <v>2000</v>
      </c>
    </row>
    <row r="4">
      <c r="A4" s="2" t="inlineStr">
        <is>
          <t>Total Revenue ($)</t>
        </is>
      </c>
      <c r="B4" s="3" t="n">
        <v>3133027.4</v>
      </c>
    </row>
    <row r="5">
      <c r="A5" s="2" t="inlineStr">
        <is>
          <t>Total Profit ($)</t>
        </is>
      </c>
      <c r="B5" s="3" t="n">
        <v>1266571.05</v>
      </c>
    </row>
    <row r="6">
      <c r="A6" s="2" t="inlineStr">
        <is>
          <t>Avg Margin (%)</t>
        </is>
      </c>
      <c r="B6" s="3" t="n">
        <v>40.3</v>
      </c>
    </row>
    <row r="7">
      <c r="A7" s="2" t="inlineStr">
        <is>
          <t>Units Sold</t>
        </is>
      </c>
      <c r="B7" s="3" t="n">
        <v>21203</v>
      </c>
    </row>
    <row r="8">
      <c r="A8" s="2" t="inlineStr">
        <is>
          <t>Avg Order Value ($)</t>
        </is>
      </c>
      <c r="B8" s="3" t="n">
        <v>1566.51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4" customWidth="1" min="3" max="3"/>
    <col width="13" customWidth="1" min="4" max="4"/>
    <col width="12" customWidth="1" min="5" max="5"/>
    <col width="10" customWidth="1" min="6" max="6"/>
    <col width="14" customWidth="1" min="7" max="7"/>
  </cols>
  <sheetData>
    <row r="1" ht="22" customHeight="1">
      <c r="A1" s="4" t="inlineStr">
        <is>
          <t>Year</t>
        </is>
      </c>
      <c r="B1" s="4" t="inlineStr">
        <is>
          <t>Month</t>
        </is>
      </c>
      <c r="C1" s="4" t="inlineStr">
        <is>
          <t>Month Name</t>
        </is>
      </c>
      <c r="D1" s="4" t="inlineStr">
        <is>
          <t>Revenue</t>
        </is>
      </c>
      <c r="E1" s="4" t="inlineStr">
        <is>
          <t>Profit</t>
        </is>
      </c>
      <c r="F1" s="4" t="inlineStr">
        <is>
          <t>Orders</t>
        </is>
      </c>
      <c r="G1" s="4" t="inlineStr">
        <is>
          <t>Margin Pct</t>
        </is>
      </c>
    </row>
    <row r="2">
      <c r="A2" s="5" t="n">
        <v>2023</v>
      </c>
      <c r="B2" s="5" t="n">
        <v>1</v>
      </c>
      <c r="C2" s="5" t="inlineStr">
        <is>
          <t>Jan</t>
        </is>
      </c>
      <c r="D2" s="5" t="n">
        <v>82367.60000000001</v>
      </c>
      <c r="E2" s="5" t="n">
        <v>33510</v>
      </c>
      <c r="F2" s="5" t="n">
        <v>79</v>
      </c>
      <c r="G2" s="5" t="n">
        <v>40.32</v>
      </c>
    </row>
    <row r="3">
      <c r="A3" s="6" t="n">
        <v>2023</v>
      </c>
      <c r="B3" s="6" t="n">
        <v>2</v>
      </c>
      <c r="C3" s="6" t="inlineStr">
        <is>
          <t>Feb</t>
        </is>
      </c>
      <c r="D3" s="6" t="n">
        <v>103865.15</v>
      </c>
      <c r="E3" s="6" t="n">
        <v>42972.45</v>
      </c>
      <c r="F3" s="6" t="n">
        <v>77</v>
      </c>
      <c r="G3" s="6" t="n">
        <v>40.15</v>
      </c>
    </row>
    <row r="4">
      <c r="A4" s="5" t="n">
        <v>2023</v>
      </c>
      <c r="B4" s="5" t="n">
        <v>3</v>
      </c>
      <c r="C4" s="5" t="inlineStr">
        <is>
          <t>Mar</t>
        </is>
      </c>
      <c r="D4" s="5" t="n">
        <v>90007.75</v>
      </c>
      <c r="E4" s="5" t="n">
        <v>37478.35</v>
      </c>
      <c r="F4" s="5" t="n">
        <v>77</v>
      </c>
      <c r="G4" s="5" t="n">
        <v>40.81</v>
      </c>
    </row>
    <row r="5">
      <c r="A5" s="6" t="n">
        <v>2023</v>
      </c>
      <c r="B5" s="6" t="n">
        <v>4</v>
      </c>
      <c r="C5" s="6" t="inlineStr">
        <is>
          <t>Apr</t>
        </is>
      </c>
      <c r="D5" s="6" t="n">
        <v>140619.45</v>
      </c>
      <c r="E5" s="6" t="n">
        <v>58814.1</v>
      </c>
      <c r="F5" s="6" t="n">
        <v>82</v>
      </c>
      <c r="G5" s="6" t="n">
        <v>41.08</v>
      </c>
    </row>
    <row r="6">
      <c r="A6" s="5" t="n">
        <v>2023</v>
      </c>
      <c r="B6" s="5" t="n">
        <v>5</v>
      </c>
      <c r="C6" s="5" t="inlineStr">
        <is>
          <t>May</t>
        </is>
      </c>
      <c r="D6" s="5" t="n">
        <v>135303.9</v>
      </c>
      <c r="E6" s="5" t="n">
        <v>53378.1</v>
      </c>
      <c r="F6" s="5" t="n">
        <v>96</v>
      </c>
      <c r="G6" s="5" t="n">
        <v>40.26</v>
      </c>
    </row>
    <row r="7">
      <c r="A7" s="6" t="n">
        <v>2023</v>
      </c>
      <c r="B7" s="6" t="n">
        <v>6</v>
      </c>
      <c r="C7" s="6" t="inlineStr">
        <is>
          <t>Jun</t>
        </is>
      </c>
      <c r="D7" s="6" t="n">
        <v>118879.25</v>
      </c>
      <c r="E7" s="6" t="n">
        <v>48609.05</v>
      </c>
      <c r="F7" s="6" t="n">
        <v>78</v>
      </c>
      <c r="G7" s="6" t="n">
        <v>40.72</v>
      </c>
    </row>
    <row r="8">
      <c r="A8" s="5" t="n">
        <v>2023</v>
      </c>
      <c r="B8" s="5" t="n">
        <v>7</v>
      </c>
      <c r="C8" s="5" t="inlineStr">
        <is>
          <t>Jul</t>
        </is>
      </c>
      <c r="D8" s="5" t="n">
        <v>139015.05</v>
      </c>
      <c r="E8" s="5" t="n">
        <v>54294.15</v>
      </c>
      <c r="F8" s="5" t="n">
        <v>93</v>
      </c>
      <c r="G8" s="5" t="n">
        <v>40.51</v>
      </c>
    </row>
    <row r="9">
      <c r="A9" s="6" t="n">
        <v>2023</v>
      </c>
      <c r="B9" s="6" t="n">
        <v>8</v>
      </c>
      <c r="C9" s="6" t="inlineStr">
        <is>
          <t>Aug</t>
        </is>
      </c>
      <c r="D9" s="6" t="n">
        <v>134697.5</v>
      </c>
      <c r="E9" s="6" t="n">
        <v>53175.4</v>
      </c>
      <c r="F9" s="6" t="n">
        <v>75</v>
      </c>
      <c r="G9" s="6" t="n">
        <v>39.88</v>
      </c>
    </row>
    <row r="10">
      <c r="A10" s="5" t="n">
        <v>2023</v>
      </c>
      <c r="B10" s="5" t="n">
        <v>9</v>
      </c>
      <c r="C10" s="5" t="inlineStr">
        <is>
          <t>Sep</t>
        </is>
      </c>
      <c r="D10" s="5" t="n">
        <v>128083.4</v>
      </c>
      <c r="E10" s="5" t="n">
        <v>50772.65</v>
      </c>
      <c r="F10" s="5" t="n">
        <v>78</v>
      </c>
      <c r="G10" s="5" t="n">
        <v>39.87</v>
      </c>
    </row>
    <row r="11">
      <c r="A11" s="6" t="n">
        <v>2023</v>
      </c>
      <c r="B11" s="6" t="n">
        <v>10</v>
      </c>
      <c r="C11" s="6" t="inlineStr">
        <is>
          <t>Oct</t>
        </is>
      </c>
      <c r="D11" s="6" t="n">
        <v>191558.6</v>
      </c>
      <c r="E11" s="6" t="n">
        <v>78296.55</v>
      </c>
      <c r="F11" s="6" t="n">
        <v>70</v>
      </c>
      <c r="G11" s="6" t="n">
        <v>40.82</v>
      </c>
    </row>
    <row r="12">
      <c r="A12" s="5" t="n">
        <v>2023</v>
      </c>
      <c r="B12" s="5" t="n">
        <v>11</v>
      </c>
      <c r="C12" s="5" t="inlineStr">
        <is>
          <t>Nov</t>
        </is>
      </c>
      <c r="D12" s="5" t="n">
        <v>123364.55</v>
      </c>
      <c r="E12" s="5" t="n">
        <v>47000.9</v>
      </c>
      <c r="F12" s="5" t="n">
        <v>81</v>
      </c>
      <c r="G12" s="5" t="n">
        <v>39.89</v>
      </c>
    </row>
    <row r="13">
      <c r="A13" s="6" t="n">
        <v>2023</v>
      </c>
      <c r="B13" s="6" t="n">
        <v>12</v>
      </c>
      <c r="C13" s="6" t="inlineStr">
        <is>
          <t>Dec</t>
        </is>
      </c>
      <c r="D13" s="6" t="n">
        <v>85756.5</v>
      </c>
      <c r="E13" s="6" t="n">
        <v>34833.1</v>
      </c>
      <c r="F13" s="6" t="n">
        <v>77</v>
      </c>
      <c r="G13" s="6" t="n">
        <v>40.47</v>
      </c>
    </row>
    <row r="14">
      <c r="A14" s="5" t="n">
        <v>2024</v>
      </c>
      <c r="B14" s="5" t="n">
        <v>1</v>
      </c>
      <c r="C14" s="5" t="inlineStr">
        <is>
          <t>Jan</t>
        </is>
      </c>
      <c r="D14" s="5" t="n">
        <v>140713.9</v>
      </c>
      <c r="E14" s="5" t="n">
        <v>55950.1</v>
      </c>
      <c r="F14" s="5" t="n">
        <v>88</v>
      </c>
      <c r="G14" s="5" t="n">
        <v>40.16</v>
      </c>
    </row>
    <row r="15">
      <c r="A15" s="6" t="n">
        <v>2024</v>
      </c>
      <c r="B15" s="6" t="n">
        <v>2</v>
      </c>
      <c r="C15" s="6" t="inlineStr">
        <is>
          <t>Feb</t>
        </is>
      </c>
      <c r="D15" s="6" t="n">
        <v>154614.9</v>
      </c>
      <c r="E15" s="6" t="n">
        <v>63371</v>
      </c>
      <c r="F15" s="6" t="n">
        <v>91</v>
      </c>
      <c r="G15" s="6" t="n">
        <v>40.67</v>
      </c>
    </row>
    <row r="16">
      <c r="A16" s="5" t="n">
        <v>2024</v>
      </c>
      <c r="B16" s="5" t="n">
        <v>3</v>
      </c>
      <c r="C16" s="5" t="inlineStr">
        <is>
          <t>Mar</t>
        </is>
      </c>
      <c r="D16" s="5" t="n">
        <v>133517.55</v>
      </c>
      <c r="E16" s="5" t="n">
        <v>54251</v>
      </c>
      <c r="F16" s="5" t="n">
        <v>90</v>
      </c>
      <c r="G16" s="5" t="n">
        <v>39.71</v>
      </c>
    </row>
    <row r="17">
      <c r="A17" s="6" t="n">
        <v>2024</v>
      </c>
      <c r="B17" s="6" t="n">
        <v>4</v>
      </c>
      <c r="C17" s="6" t="inlineStr">
        <is>
          <t>Apr</t>
        </is>
      </c>
      <c r="D17" s="6" t="n">
        <v>100910.7</v>
      </c>
      <c r="E17" s="6" t="n">
        <v>41973.25</v>
      </c>
      <c r="F17" s="6" t="n">
        <v>78</v>
      </c>
      <c r="G17" s="6" t="n">
        <v>40.37</v>
      </c>
    </row>
    <row r="18">
      <c r="A18" s="5" t="n">
        <v>2024</v>
      </c>
      <c r="B18" s="5" t="n">
        <v>5</v>
      </c>
      <c r="C18" s="5" t="inlineStr">
        <is>
          <t>May</t>
        </is>
      </c>
      <c r="D18" s="5" t="n">
        <v>148596.25</v>
      </c>
      <c r="E18" s="5" t="n">
        <v>61470.2</v>
      </c>
      <c r="F18" s="5" t="n">
        <v>98</v>
      </c>
      <c r="G18" s="5" t="n">
        <v>40.38</v>
      </c>
    </row>
    <row r="19">
      <c r="A19" s="6" t="n">
        <v>2024</v>
      </c>
      <c r="B19" s="6" t="n">
        <v>6</v>
      </c>
      <c r="C19" s="6" t="inlineStr">
        <is>
          <t>Jun</t>
        </is>
      </c>
      <c r="D19" s="6" t="n">
        <v>86569</v>
      </c>
      <c r="E19" s="6" t="n">
        <v>34908.6</v>
      </c>
      <c r="F19" s="6" t="n">
        <v>66</v>
      </c>
      <c r="G19" s="6" t="n">
        <v>39.66</v>
      </c>
    </row>
    <row r="20">
      <c r="A20" s="5" t="n">
        <v>2024</v>
      </c>
      <c r="B20" s="5" t="n">
        <v>7</v>
      </c>
      <c r="C20" s="5" t="inlineStr">
        <is>
          <t>Jul</t>
        </is>
      </c>
      <c r="D20" s="5" t="n">
        <v>183408.85</v>
      </c>
      <c r="E20" s="5" t="n">
        <v>74218.45</v>
      </c>
      <c r="F20" s="5" t="n">
        <v>93</v>
      </c>
      <c r="G20" s="5" t="n">
        <v>39.2</v>
      </c>
    </row>
    <row r="21">
      <c r="A21" s="6" t="n">
        <v>2024</v>
      </c>
      <c r="B21" s="6" t="n">
        <v>8</v>
      </c>
      <c r="C21" s="6" t="inlineStr">
        <is>
          <t>Aug</t>
        </is>
      </c>
      <c r="D21" s="6" t="n">
        <v>202343.8</v>
      </c>
      <c r="E21" s="6" t="n">
        <v>83073.55</v>
      </c>
      <c r="F21" s="6" t="n">
        <v>93</v>
      </c>
      <c r="G21" s="6" t="n">
        <v>40.23</v>
      </c>
    </row>
    <row r="22">
      <c r="A22" s="5" t="n">
        <v>2024</v>
      </c>
      <c r="B22" s="5" t="n">
        <v>9</v>
      </c>
      <c r="C22" s="5" t="inlineStr">
        <is>
          <t>Sep</t>
        </is>
      </c>
      <c r="D22" s="5" t="n">
        <v>148590.3</v>
      </c>
      <c r="E22" s="5" t="n">
        <v>56558.8</v>
      </c>
      <c r="F22" s="5" t="n">
        <v>78</v>
      </c>
      <c r="G22" s="5" t="n">
        <v>40.84</v>
      </c>
    </row>
    <row r="23">
      <c r="A23" s="6" t="n">
        <v>2024</v>
      </c>
      <c r="B23" s="6" t="n">
        <v>10</v>
      </c>
      <c r="C23" s="6" t="inlineStr">
        <is>
          <t>Oct</t>
        </is>
      </c>
      <c r="D23" s="6" t="n">
        <v>108243.85</v>
      </c>
      <c r="E23" s="6" t="n">
        <v>44288.2</v>
      </c>
      <c r="F23" s="6" t="n">
        <v>86</v>
      </c>
      <c r="G23" s="6" t="n">
        <v>40.21</v>
      </c>
    </row>
    <row r="24">
      <c r="A24" s="5" t="n">
        <v>2024</v>
      </c>
      <c r="B24" s="5" t="n">
        <v>11</v>
      </c>
      <c r="C24" s="5" t="inlineStr">
        <is>
          <t>Nov</t>
        </is>
      </c>
      <c r="D24" s="5" t="n">
        <v>117045.55</v>
      </c>
      <c r="E24" s="5" t="n">
        <v>47579.45</v>
      </c>
      <c r="F24" s="5" t="n">
        <v>82</v>
      </c>
      <c r="G24" s="5" t="n">
        <v>40.88</v>
      </c>
    </row>
    <row r="25">
      <c r="A25" s="6" t="n">
        <v>2024</v>
      </c>
      <c r="B25" s="6" t="n">
        <v>12</v>
      </c>
      <c r="C25" s="6" t="inlineStr">
        <is>
          <t>Dec</t>
        </is>
      </c>
      <c r="D25" s="6" t="n">
        <v>134954.05</v>
      </c>
      <c r="E25" s="6" t="n">
        <v>55793.65</v>
      </c>
      <c r="F25" s="6" t="n">
        <v>94</v>
      </c>
      <c r="G25" s="6" t="n">
        <v>40.26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13" customWidth="1" min="3" max="3"/>
    <col width="13" customWidth="1" min="4" max="4"/>
    <col width="11" customWidth="1" min="5" max="5"/>
  </cols>
  <sheetData>
    <row r="1" ht="22" customHeight="1">
      <c r="A1" s="4" t="inlineStr">
        <is>
          <t>Month</t>
        </is>
      </c>
      <c r="B1" s="4" t="inlineStr">
        <is>
          <t>Month Name</t>
        </is>
      </c>
      <c r="C1" s="4" t="inlineStr">
        <is>
          <t>Rev 2023</t>
        </is>
      </c>
      <c r="D1" s="4" t="inlineStr">
        <is>
          <t>Rev 2024</t>
        </is>
      </c>
      <c r="E1" s="4" t="inlineStr">
        <is>
          <t>Yoy Pct</t>
        </is>
      </c>
    </row>
    <row r="2">
      <c r="A2" s="5" t="n">
        <v>1</v>
      </c>
      <c r="B2" s="5" t="inlineStr">
        <is>
          <t>Jan</t>
        </is>
      </c>
      <c r="C2" s="5" t="n">
        <v>82367.60000000001</v>
      </c>
      <c r="D2" s="5" t="n">
        <v>140713.9</v>
      </c>
      <c r="E2" s="5" t="n">
        <v>70.84</v>
      </c>
    </row>
    <row r="3">
      <c r="A3" s="6" t="n">
        <v>2</v>
      </c>
      <c r="B3" s="6" t="inlineStr">
        <is>
          <t>Feb</t>
        </is>
      </c>
      <c r="C3" s="6" t="n">
        <v>103865.15</v>
      </c>
      <c r="D3" s="6" t="n">
        <v>154614.9</v>
      </c>
      <c r="E3" s="6" t="n">
        <v>48.86</v>
      </c>
    </row>
    <row r="4">
      <c r="A4" s="5" t="n">
        <v>3</v>
      </c>
      <c r="B4" s="5" t="inlineStr">
        <is>
          <t>Mar</t>
        </is>
      </c>
      <c r="C4" s="5" t="n">
        <v>90007.75</v>
      </c>
      <c r="D4" s="5" t="n">
        <v>133517.55</v>
      </c>
      <c r="E4" s="5" t="n">
        <v>48.34</v>
      </c>
    </row>
    <row r="5">
      <c r="A5" s="6" t="n">
        <v>4</v>
      </c>
      <c r="B5" s="6" t="inlineStr">
        <is>
          <t>Apr</t>
        </is>
      </c>
      <c r="C5" s="6" t="n">
        <v>140619.45</v>
      </c>
      <c r="D5" s="6" t="n">
        <v>100910.7</v>
      </c>
      <c r="E5" s="6" t="n">
        <v>-28.24</v>
      </c>
    </row>
    <row r="6">
      <c r="A6" s="5" t="n">
        <v>5</v>
      </c>
      <c r="B6" s="5" t="inlineStr">
        <is>
          <t>May</t>
        </is>
      </c>
      <c r="C6" s="5" t="n">
        <v>135303.9</v>
      </c>
      <c r="D6" s="5" t="n">
        <v>148596.25</v>
      </c>
      <c r="E6" s="5" t="n">
        <v>9.82</v>
      </c>
    </row>
    <row r="7">
      <c r="A7" s="6" t="n">
        <v>6</v>
      </c>
      <c r="B7" s="6" t="inlineStr">
        <is>
          <t>Jun</t>
        </is>
      </c>
      <c r="C7" s="6" t="n">
        <v>118879.25</v>
      </c>
      <c r="D7" s="6" t="n">
        <v>86569</v>
      </c>
      <c r="E7" s="6" t="n">
        <v>-27.18</v>
      </c>
    </row>
    <row r="8">
      <c r="A8" s="5" t="n">
        <v>7</v>
      </c>
      <c r="B8" s="5" t="inlineStr">
        <is>
          <t>Jul</t>
        </is>
      </c>
      <c r="C8" s="5" t="n">
        <v>139015.05</v>
      </c>
      <c r="D8" s="5" t="n">
        <v>183408.85</v>
      </c>
      <c r="E8" s="5" t="n">
        <v>31.93</v>
      </c>
    </row>
    <row r="9">
      <c r="A9" s="6" t="n">
        <v>8</v>
      </c>
      <c r="B9" s="6" t="inlineStr">
        <is>
          <t>Aug</t>
        </is>
      </c>
      <c r="C9" s="6" t="n">
        <v>134697.5</v>
      </c>
      <c r="D9" s="6" t="n">
        <v>202343.8</v>
      </c>
      <c r="E9" s="6" t="n">
        <v>50.22</v>
      </c>
    </row>
    <row r="10">
      <c r="A10" s="5" t="n">
        <v>9</v>
      </c>
      <c r="B10" s="5" t="inlineStr">
        <is>
          <t>Sep</t>
        </is>
      </c>
      <c r="C10" s="5" t="n">
        <v>128083.4</v>
      </c>
      <c r="D10" s="5" t="n">
        <v>148590.3</v>
      </c>
      <c r="E10" s="5" t="n">
        <v>16.01</v>
      </c>
    </row>
    <row r="11">
      <c r="A11" s="6" t="n">
        <v>10</v>
      </c>
      <c r="B11" s="6" t="inlineStr">
        <is>
          <t>Oct</t>
        </is>
      </c>
      <c r="C11" s="6" t="n">
        <v>191558.6</v>
      </c>
      <c r="D11" s="6" t="n">
        <v>108243.85</v>
      </c>
      <c r="E11" s="6" t="n">
        <v>-43.49</v>
      </c>
    </row>
    <row r="12">
      <c r="A12" s="5" t="n">
        <v>11</v>
      </c>
      <c r="B12" s="5" t="inlineStr">
        <is>
          <t>Nov</t>
        </is>
      </c>
      <c r="C12" s="5" t="n">
        <v>123364.55</v>
      </c>
      <c r="D12" s="5" t="n">
        <v>117045.55</v>
      </c>
      <c r="E12" s="5" t="n">
        <v>-5.12</v>
      </c>
    </row>
    <row r="13">
      <c r="A13" s="6" t="n">
        <v>12</v>
      </c>
      <c r="B13" s="6" t="inlineStr">
        <is>
          <t>Dec</t>
        </is>
      </c>
      <c r="C13" s="6" t="n">
        <v>85756.5</v>
      </c>
      <c r="D13" s="6" t="n">
        <v>134954.05</v>
      </c>
      <c r="E13" s="6" t="n">
        <v>57.37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16" customWidth="1" min="3" max="3"/>
    <col width="10" customWidth="1" min="4" max="4"/>
    <col width="18" customWidth="1" min="5" max="5"/>
  </cols>
  <sheetData>
    <row r="1" ht="22" customHeight="1">
      <c r="A1" s="4" t="inlineStr">
        <is>
          <t>Region</t>
        </is>
      </c>
      <c r="B1" s="4" t="inlineStr">
        <is>
          <t>Total Revenue</t>
        </is>
      </c>
      <c r="C1" s="4" t="inlineStr">
        <is>
          <t>Total Profit</t>
        </is>
      </c>
      <c r="D1" s="4" t="inlineStr">
        <is>
          <t>Orders</t>
        </is>
      </c>
      <c r="E1" s="4" t="inlineStr">
        <is>
          <t>Avg Margin Pct</t>
        </is>
      </c>
    </row>
    <row r="2">
      <c r="A2" s="5" t="inlineStr">
        <is>
          <t>South</t>
        </is>
      </c>
      <c r="B2" s="5" t="n">
        <v>682214.85</v>
      </c>
      <c r="C2" s="5" t="n">
        <v>272756.35</v>
      </c>
      <c r="D2" s="5" t="n">
        <v>435</v>
      </c>
      <c r="E2" s="5" t="n">
        <v>40.17</v>
      </c>
    </row>
    <row r="3">
      <c r="A3" s="6" t="inlineStr">
        <is>
          <t>Central</t>
        </is>
      </c>
      <c r="B3" s="6" t="n">
        <v>671816.6</v>
      </c>
      <c r="C3" s="6" t="n">
        <v>274002.7</v>
      </c>
      <c r="D3" s="6" t="n">
        <v>388</v>
      </c>
      <c r="E3" s="6" t="n">
        <v>40.56</v>
      </c>
    </row>
    <row r="4">
      <c r="A4" s="5" t="inlineStr">
        <is>
          <t>North</t>
        </is>
      </c>
      <c r="B4" s="5" t="n">
        <v>637976.3</v>
      </c>
      <c r="C4" s="5" t="n">
        <v>259459.15</v>
      </c>
      <c r="D4" s="5" t="n">
        <v>381</v>
      </c>
      <c r="E4" s="5" t="n">
        <v>40.49</v>
      </c>
    </row>
    <row r="5">
      <c r="A5" s="6" t="inlineStr">
        <is>
          <t>West</t>
        </is>
      </c>
      <c r="B5" s="6" t="n">
        <v>630990.95</v>
      </c>
      <c r="C5" s="6" t="n">
        <v>251385.9</v>
      </c>
      <c r="D5" s="6" t="n">
        <v>414</v>
      </c>
      <c r="E5" s="6" t="n">
        <v>39.92</v>
      </c>
    </row>
    <row r="6">
      <c r="A6" s="5" t="inlineStr">
        <is>
          <t>East</t>
        </is>
      </c>
      <c r="B6" s="5" t="n">
        <v>510028.7</v>
      </c>
      <c r="C6" s="5" t="n">
        <v>208966.95</v>
      </c>
      <c r="D6" s="5" t="n">
        <v>382</v>
      </c>
      <c r="E6" s="5" t="n">
        <v>40.4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7" customWidth="1" min="2" max="2"/>
    <col width="16" customWidth="1" min="3" max="3"/>
    <col width="14" customWidth="1" min="4" max="4"/>
    <col width="20" customWidth="1" min="5" max="5"/>
  </cols>
  <sheetData>
    <row r="1" ht="22" customHeight="1">
      <c r="A1" s="4" t="inlineStr">
        <is>
          <t>Category</t>
        </is>
      </c>
      <c r="B1" s="4" t="inlineStr">
        <is>
          <t>Total Revenue</t>
        </is>
      </c>
      <c r="C1" s="4" t="inlineStr">
        <is>
          <t>Total Profit</t>
        </is>
      </c>
      <c r="D1" s="4" t="inlineStr">
        <is>
          <t>Units Sold</t>
        </is>
      </c>
      <c r="E1" s="4" t="inlineStr">
        <is>
          <t>Avg Discount Pct</t>
        </is>
      </c>
    </row>
    <row r="2">
      <c r="A2" s="5" t="inlineStr">
        <is>
          <t>Electronics</t>
        </is>
      </c>
      <c r="B2" s="5" t="n">
        <v>2091340.25</v>
      </c>
      <c r="C2" s="5" t="n">
        <v>844483.65</v>
      </c>
      <c r="D2" s="5" t="n">
        <v>4270</v>
      </c>
      <c r="E2" s="5" t="n">
        <v>7.5</v>
      </c>
    </row>
    <row r="3">
      <c r="A3" s="6" t="inlineStr">
        <is>
          <t>Home &amp; Garden</t>
        </is>
      </c>
      <c r="B3" s="6" t="n">
        <v>503565.3</v>
      </c>
      <c r="C3" s="6" t="n">
        <v>202375.4</v>
      </c>
      <c r="D3" s="6" t="n">
        <v>4282</v>
      </c>
      <c r="E3" s="6" t="n">
        <v>7.4</v>
      </c>
    </row>
    <row r="4">
      <c r="A4" s="5" t="inlineStr">
        <is>
          <t>Apparel</t>
        </is>
      </c>
      <c r="B4" s="5" t="n">
        <v>323395.25</v>
      </c>
      <c r="C4" s="5" t="n">
        <v>132570</v>
      </c>
      <c r="D4" s="5" t="n">
        <v>4428</v>
      </c>
      <c r="E4" s="5" t="n">
        <v>6.9</v>
      </c>
    </row>
    <row r="5">
      <c r="A5" s="6" t="inlineStr">
        <is>
          <t>Sports</t>
        </is>
      </c>
      <c r="B5" s="6" t="n">
        <v>136124.2</v>
      </c>
      <c r="C5" s="6" t="n">
        <v>55445.8</v>
      </c>
      <c r="D5" s="6" t="n">
        <v>4140</v>
      </c>
      <c r="E5" s="6" t="n">
        <v>6.8</v>
      </c>
    </row>
    <row r="6">
      <c r="A6" s="5" t="inlineStr">
        <is>
          <t>Food &amp; Beverage</t>
        </is>
      </c>
      <c r="B6" s="5" t="n">
        <v>78602.39999999999</v>
      </c>
      <c r="C6" s="5" t="n">
        <v>31696.2</v>
      </c>
      <c r="D6" s="5" t="n">
        <v>4083</v>
      </c>
      <c r="E6" s="5" t="n">
        <v>7.6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6" customWidth="1" min="3" max="3"/>
    <col width="10" customWidth="1" min="4" max="4"/>
    <col width="18" customWidth="1" min="5" max="5"/>
  </cols>
  <sheetData>
    <row r="1" ht="22" customHeight="1">
      <c r="A1" s="4" t="inlineStr">
        <is>
          <t>Sales Rep</t>
        </is>
      </c>
      <c r="B1" s="4" t="inlineStr">
        <is>
          <t>Total Revenue</t>
        </is>
      </c>
      <c r="C1" s="4" t="inlineStr">
        <is>
          <t>Total Profit</t>
        </is>
      </c>
      <c r="D1" s="4" t="inlineStr">
        <is>
          <t>Orders</t>
        </is>
      </c>
      <c r="E1" s="4" t="inlineStr">
        <is>
          <t>Avg Margin Pct</t>
        </is>
      </c>
    </row>
    <row r="2">
      <c r="A2" s="5" t="inlineStr">
        <is>
          <t>Alice Morgan</t>
        </is>
      </c>
      <c r="B2" s="5" t="n">
        <v>487350.1</v>
      </c>
      <c r="C2" s="5" t="n">
        <v>195951.85</v>
      </c>
      <c r="D2" s="5" t="n">
        <v>242</v>
      </c>
      <c r="E2" s="5" t="n">
        <v>40.15</v>
      </c>
    </row>
    <row r="3">
      <c r="A3" s="6" t="inlineStr">
        <is>
          <t>Clara Diaz</t>
        </is>
      </c>
      <c r="B3" s="6" t="n">
        <v>427055.6</v>
      </c>
      <c r="C3" s="6" t="n">
        <v>177124.6</v>
      </c>
      <c r="D3" s="6" t="n">
        <v>277</v>
      </c>
      <c r="E3" s="6" t="n">
        <v>40.53</v>
      </c>
    </row>
    <row r="4">
      <c r="A4" s="5" t="inlineStr">
        <is>
          <t>Eva Patel</t>
        </is>
      </c>
      <c r="B4" s="5" t="n">
        <v>416777.4</v>
      </c>
      <c r="C4" s="5" t="n">
        <v>165226.1</v>
      </c>
      <c r="D4" s="5" t="n">
        <v>258</v>
      </c>
      <c r="E4" s="5" t="n">
        <v>40.49</v>
      </c>
    </row>
    <row r="5">
      <c r="A5" s="6" t="inlineStr">
        <is>
          <t>Frank Russo</t>
        </is>
      </c>
      <c r="B5" s="6" t="n">
        <v>414931</v>
      </c>
      <c r="C5" s="6" t="n">
        <v>169540.8</v>
      </c>
      <c r="D5" s="6" t="n">
        <v>265</v>
      </c>
      <c r="E5" s="6" t="n">
        <v>40.64</v>
      </c>
    </row>
    <row r="6">
      <c r="A6" s="5" t="inlineStr">
        <is>
          <t>Henry Osei</t>
        </is>
      </c>
      <c r="B6" s="5" t="n">
        <v>399914.6</v>
      </c>
      <c r="C6" s="5" t="n">
        <v>160786.7</v>
      </c>
      <c r="D6" s="5" t="n">
        <v>255</v>
      </c>
      <c r="E6" s="5" t="n">
        <v>39.96</v>
      </c>
    </row>
    <row r="7">
      <c r="A7" s="6" t="inlineStr">
        <is>
          <t>Grace Lee</t>
        </is>
      </c>
      <c r="B7" s="6" t="n">
        <v>354815.3</v>
      </c>
      <c r="C7" s="6" t="n">
        <v>142092.35</v>
      </c>
      <c r="D7" s="6" t="n">
        <v>250</v>
      </c>
      <c r="E7" s="6" t="n">
        <v>40.34</v>
      </c>
    </row>
    <row r="8">
      <c r="A8" s="5" t="inlineStr">
        <is>
          <t>Bob Chen</t>
        </is>
      </c>
      <c r="B8" s="5" t="n">
        <v>332505.6</v>
      </c>
      <c r="C8" s="5" t="n">
        <v>135187.05</v>
      </c>
      <c r="D8" s="5" t="n">
        <v>249</v>
      </c>
      <c r="E8" s="5" t="n">
        <v>39.83</v>
      </c>
    </row>
    <row r="9">
      <c r="A9" s="6" t="inlineStr">
        <is>
          <t>David Kim</t>
        </is>
      </c>
      <c r="B9" s="6" t="n">
        <v>299677.8</v>
      </c>
      <c r="C9" s="6" t="n">
        <v>120661.6</v>
      </c>
      <c r="D9" s="6" t="n">
        <v>204</v>
      </c>
      <c r="E9" s="6" t="n">
        <v>40.42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0" customWidth="1" min="4" max="4"/>
    <col width="21" customWidth="1" min="5" max="5"/>
  </cols>
  <sheetData>
    <row r="1" ht="22" customHeight="1">
      <c r="A1" s="4" t="inlineStr">
        <is>
          <t>Channel</t>
        </is>
      </c>
      <c r="B1" s="4" t="inlineStr">
        <is>
          <t>Revenue</t>
        </is>
      </c>
      <c r="C1" s="4" t="inlineStr">
        <is>
          <t>Profit</t>
        </is>
      </c>
      <c r="D1" s="4" t="inlineStr">
        <is>
          <t>Orders</t>
        </is>
      </c>
      <c r="E1" s="4" t="inlineStr">
        <is>
          <t>Revenue Share Pct</t>
        </is>
      </c>
    </row>
    <row r="2">
      <c r="A2" s="5" t="inlineStr">
        <is>
          <t>In-Store</t>
        </is>
      </c>
      <c r="B2" s="5" t="n">
        <v>832064.3</v>
      </c>
      <c r="C2" s="5" t="n">
        <v>333091.1</v>
      </c>
      <c r="D2" s="5" t="n">
        <v>495</v>
      </c>
      <c r="E2" s="5" t="n">
        <v>26.6</v>
      </c>
    </row>
    <row r="3">
      <c r="A3" s="6" t="inlineStr">
        <is>
          <t>Online</t>
        </is>
      </c>
      <c r="B3" s="6" t="n">
        <v>811612.95</v>
      </c>
      <c r="C3" s="6" t="n">
        <v>332141.1</v>
      </c>
      <c r="D3" s="6" t="n">
        <v>505</v>
      </c>
      <c r="E3" s="6" t="n">
        <v>25.9</v>
      </c>
    </row>
    <row r="4">
      <c r="A4" s="5" t="inlineStr">
        <is>
          <t>Wholesale</t>
        </is>
      </c>
      <c r="B4" s="5" t="n">
        <v>771581.75</v>
      </c>
      <c r="C4" s="5" t="n">
        <v>314824.9</v>
      </c>
      <c r="D4" s="5" t="n">
        <v>513</v>
      </c>
      <c r="E4" s="5" t="n">
        <v>24.6</v>
      </c>
    </row>
    <row r="5">
      <c r="A5" s="6" t="inlineStr">
        <is>
          <t>Partner</t>
        </is>
      </c>
      <c r="B5" s="6" t="n">
        <v>717768.4</v>
      </c>
      <c r="C5" s="6" t="n">
        <v>286513.95</v>
      </c>
      <c r="D5" s="6" t="n">
        <v>487</v>
      </c>
      <c r="E5" s="6" t="n">
        <v>22.9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3" customWidth="1" min="3" max="3"/>
    <col width="13" customWidth="1" min="4" max="4"/>
    <col width="10" customWidth="1" min="5" max="5"/>
    <col width="14" customWidth="1" min="6" max="6"/>
  </cols>
  <sheetData>
    <row r="1" ht="22" customHeight="1">
      <c r="A1" s="4" t="inlineStr">
        <is>
          <t>Year</t>
        </is>
      </c>
      <c r="B1" s="4" t="inlineStr">
        <is>
          <t>Quarter</t>
        </is>
      </c>
      <c r="C1" s="4" t="inlineStr">
        <is>
          <t>Revenue</t>
        </is>
      </c>
      <c r="D1" s="4" t="inlineStr">
        <is>
          <t>Profit</t>
        </is>
      </c>
      <c r="E1" s="4" t="inlineStr">
        <is>
          <t>Orders</t>
        </is>
      </c>
      <c r="F1" s="4" t="inlineStr">
        <is>
          <t>Avg Margin</t>
        </is>
      </c>
    </row>
    <row r="2">
      <c r="A2" s="5" t="n">
        <v>2023</v>
      </c>
      <c r="B2" s="5" t="n">
        <v>1</v>
      </c>
      <c r="C2" s="5" t="n">
        <v>276240.5</v>
      </c>
      <c r="D2" s="5" t="n">
        <v>113960.8</v>
      </c>
      <c r="E2" s="5" t="n">
        <v>233</v>
      </c>
      <c r="F2" s="5" t="n">
        <v>40.43</v>
      </c>
    </row>
    <row r="3">
      <c r="A3" s="6" t="n">
        <v>2023</v>
      </c>
      <c r="B3" s="6" t="n">
        <v>2</v>
      </c>
      <c r="C3" s="6" t="n">
        <v>394802.6</v>
      </c>
      <c r="D3" s="6" t="n">
        <v>160801.25</v>
      </c>
      <c r="E3" s="6" t="n">
        <v>256</v>
      </c>
      <c r="F3" s="6" t="n">
        <v>40.66</v>
      </c>
    </row>
    <row r="4">
      <c r="A4" s="5" t="n">
        <v>2023</v>
      </c>
      <c r="B4" s="5" t="n">
        <v>3</v>
      </c>
      <c r="C4" s="5" t="n">
        <v>401795.95</v>
      </c>
      <c r="D4" s="5" t="n">
        <v>158242.2</v>
      </c>
      <c r="E4" s="5" t="n">
        <v>246</v>
      </c>
      <c r="F4" s="5" t="n">
        <v>40.11</v>
      </c>
    </row>
    <row r="5">
      <c r="A5" s="6" t="n">
        <v>2023</v>
      </c>
      <c r="B5" s="6" t="n">
        <v>4</v>
      </c>
      <c r="C5" s="6" t="n">
        <v>400679.65</v>
      </c>
      <c r="D5" s="6" t="n">
        <v>160130.55</v>
      </c>
      <c r="E5" s="6" t="n">
        <v>228</v>
      </c>
      <c r="F5" s="6" t="n">
        <v>40.37</v>
      </c>
    </row>
    <row r="6">
      <c r="A6" s="5" t="n">
        <v>2024</v>
      </c>
      <c r="B6" s="5" t="n">
        <v>1</v>
      </c>
      <c r="C6" s="5" t="n">
        <v>428846.35</v>
      </c>
      <c r="D6" s="5" t="n">
        <v>173572.1</v>
      </c>
      <c r="E6" s="5" t="n">
        <v>269</v>
      </c>
      <c r="F6" s="5" t="n">
        <v>40.18</v>
      </c>
    </row>
    <row r="7">
      <c r="A7" s="6" t="n">
        <v>2024</v>
      </c>
      <c r="B7" s="6" t="n">
        <v>2</v>
      </c>
      <c r="C7" s="6" t="n">
        <v>336075.95</v>
      </c>
      <c r="D7" s="6" t="n">
        <v>138352.05</v>
      </c>
      <c r="E7" s="6" t="n">
        <v>242</v>
      </c>
      <c r="F7" s="6" t="n">
        <v>40.18</v>
      </c>
    </row>
    <row r="8">
      <c r="A8" s="5" t="n">
        <v>2024</v>
      </c>
      <c r="B8" s="5" t="n">
        <v>3</v>
      </c>
      <c r="C8" s="5" t="n">
        <v>534342.95</v>
      </c>
      <c r="D8" s="5" t="n">
        <v>213850.8</v>
      </c>
      <c r="E8" s="5" t="n">
        <v>264</v>
      </c>
      <c r="F8" s="5" t="n">
        <v>40.05</v>
      </c>
    </row>
    <row r="9">
      <c r="A9" s="6" t="n">
        <v>2024</v>
      </c>
      <c r="B9" s="6" t="n">
        <v>4</v>
      </c>
      <c r="C9" s="6" t="n">
        <v>360243.45</v>
      </c>
      <c r="D9" s="6" t="n">
        <v>147661.3</v>
      </c>
      <c r="E9" s="6" t="n">
        <v>262</v>
      </c>
      <c r="F9" s="6" t="n">
        <v>40.44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2026-05-14T07:02:03Z</dcterms:created>
  <dcterms:modified xmlns:dcterms="http://purl.org/dc/terms/" xmlns:xsi="http://www.w3.org/2001/XMLSchema-instance" xsi:type="dcterms:W3CDTF">2026-05-14T07:02:03Z</dcterms:modified>
</cp:coreProperties>
</file>